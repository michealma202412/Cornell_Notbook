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001_temp\Cornell_notebook\Cornell_Notbook\"/>
    </mc:Choice>
  </mc:AlternateContent>
  <xr:revisionPtr revIDLastSave="0" documentId="13_ncr:1_{6D7085BF-2755-48AB-8596-7204B9FE2D45}" xr6:coauthVersionLast="47" xr6:coauthVersionMax="47" xr10:uidLastSave="{00000000-0000-0000-0000-000000000000}"/>
  <bookViews>
    <workbookView xWindow="7692" yWindow="372" windowWidth="15588" windowHeight="10740" xr2:uid="{00000000-000D-0000-FFFF-FFFF00000000}"/>
  </bookViews>
  <sheets>
    <sheet name="A5_Cornell_config" sheetId="1" r:id="rId1"/>
    <sheet name="Paper_siz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18" i="1"/>
  <c r="C16" i="1"/>
  <c r="C15" i="1"/>
  <c r="C14" i="1"/>
  <c r="F10" i="1"/>
  <c r="F9" i="1"/>
  <c r="F6" i="1"/>
  <c r="F7" i="1"/>
  <c r="F8" i="1"/>
  <c r="F5" i="1"/>
  <c r="F4" i="1"/>
  <c r="C2" i="1"/>
  <c r="B17" i="1" l="1"/>
  <c r="B20" i="1" l="1"/>
  <c r="C17" i="1"/>
  <c r="C20" i="1"/>
</calcChain>
</file>

<file path=xl/sharedStrings.xml><?xml version="1.0" encoding="utf-8"?>
<sst xmlns="http://schemas.openxmlformats.org/spreadsheetml/2006/main" count="59" uniqueCount="57">
  <si>
    <t>A0</t>
    <phoneticPr fontId="1" type="noConversion"/>
  </si>
  <si>
    <t>A1</t>
  </si>
  <si>
    <t>A2</t>
  </si>
  <si>
    <t>A3</t>
  </si>
  <si>
    <t>A4</t>
  </si>
  <si>
    <t>A5</t>
  </si>
  <si>
    <t>B0</t>
    <phoneticPr fontId="1" type="noConversion"/>
  </si>
  <si>
    <t>B1</t>
  </si>
  <si>
    <t>B2</t>
  </si>
  <si>
    <t>B3</t>
  </si>
  <si>
    <t>B4</t>
  </si>
  <si>
    <t>B5</t>
  </si>
  <si>
    <t>Collum_number</t>
    <phoneticPr fontId="1" type="noConversion"/>
  </si>
  <si>
    <t>Row_ID</t>
    <phoneticPr fontId="1" type="noConversion"/>
  </si>
  <si>
    <t>Name</t>
    <phoneticPr fontId="1" type="noConversion"/>
  </si>
  <si>
    <t>Header</t>
    <phoneticPr fontId="1" type="noConversion"/>
  </si>
  <si>
    <t>Quote</t>
    <phoneticPr fontId="1" type="noConversion"/>
  </si>
  <si>
    <t>Title</t>
    <phoneticPr fontId="1" type="noConversion"/>
  </si>
  <si>
    <t>Row Name</t>
    <phoneticPr fontId="1" type="noConversion"/>
  </si>
  <si>
    <t>Key_words</t>
    <phoneticPr fontId="1" type="noConversion"/>
  </si>
  <si>
    <t>Note_body</t>
    <phoneticPr fontId="1" type="noConversion"/>
  </si>
  <si>
    <t>Summary</t>
    <phoneticPr fontId="1" type="noConversion"/>
  </si>
  <si>
    <t>Cornell_Part2</t>
    <phoneticPr fontId="1" type="noConversion"/>
  </si>
  <si>
    <t>Cornell_Part</t>
  </si>
  <si>
    <t>Cornell_Part3</t>
    <phoneticPr fontId="1" type="noConversion"/>
  </si>
  <si>
    <t>Footer</t>
    <phoneticPr fontId="1" type="noConversion"/>
  </si>
  <si>
    <t xml:space="preserve">|D83:    .    .    </t>
    <phoneticPr fontId="1" type="noConversion"/>
  </si>
  <si>
    <t xml:space="preserve">|D49:    .    .    </t>
    <phoneticPr fontId="1" type="noConversion"/>
  </si>
  <si>
    <t xml:space="preserve">|D28:    .    .    </t>
    <phoneticPr fontId="1" type="noConversion"/>
  </si>
  <si>
    <t xml:space="preserve">|D15:    .    .    </t>
    <phoneticPr fontId="1" type="noConversion"/>
  </si>
  <si>
    <t xml:space="preserve">|D7:    .    .    </t>
    <phoneticPr fontId="1" type="noConversion"/>
  </si>
  <si>
    <t xml:space="preserve">|D2:    .    .    </t>
    <phoneticPr fontId="1" type="noConversion"/>
  </si>
  <si>
    <t>Output</t>
    <phoneticPr fontId="1" type="noConversion"/>
  </si>
  <si>
    <t>A5_Cornell_Note_book</t>
    <phoneticPr fontId="1" type="noConversion"/>
  </si>
  <si>
    <t>Page_Size</t>
    <phoneticPr fontId="1" type="noConversion"/>
  </si>
  <si>
    <t>A5</t>
    <phoneticPr fontId="1" type="noConversion"/>
  </si>
  <si>
    <t>Orientation</t>
    <phoneticPr fontId="1" type="noConversion"/>
  </si>
  <si>
    <t>Portrait</t>
    <phoneticPr fontId="1" type="noConversion"/>
  </si>
  <si>
    <t>border_enabled</t>
    <phoneticPr fontId="1" type="noConversion"/>
  </si>
  <si>
    <t>Height_P</t>
    <phoneticPr fontId="1" type="noConversion"/>
  </si>
  <si>
    <t>Module_Margin</t>
    <phoneticPr fontId="1" type="noConversion"/>
  </si>
  <si>
    <t>times_of_row_height</t>
    <phoneticPr fontId="1" type="noConversion"/>
  </si>
  <si>
    <t>mm_2_g</t>
    <phoneticPr fontId="1" type="noConversion"/>
  </si>
  <si>
    <t>base_margin_mm</t>
    <phoneticPr fontId="1" type="noConversion"/>
  </si>
  <si>
    <t>base_margin_g</t>
    <phoneticPr fontId="1" type="noConversion"/>
  </si>
  <si>
    <t>left_binding_margin_mm</t>
    <phoneticPr fontId="1" type="noConversion"/>
  </si>
  <si>
    <t>right_binding_margin_mm</t>
    <phoneticPr fontId="1" type="noConversion"/>
  </si>
  <si>
    <t>top_binding_margin_mm</t>
    <phoneticPr fontId="1" type="noConversion"/>
  </si>
  <si>
    <t>bottom_binding_margin_mm</t>
    <phoneticPr fontId="1" type="noConversion"/>
  </si>
  <si>
    <t>Base_row_height_mm</t>
    <phoneticPr fontId="1" type="noConversion"/>
  </si>
  <si>
    <t>left_margin_g</t>
    <phoneticPr fontId="1" type="noConversion"/>
  </si>
  <si>
    <t>right_binding_margin_g</t>
    <phoneticPr fontId="1" type="noConversion"/>
  </si>
  <si>
    <t>top_binding_margin_g</t>
    <phoneticPr fontId="1" type="noConversion"/>
  </si>
  <si>
    <t>bottom_binding_margin_g</t>
    <phoneticPr fontId="1" type="noConversion"/>
  </si>
  <si>
    <t>base_size_-g</t>
    <phoneticPr fontId="1" type="noConversion"/>
  </si>
  <si>
    <t>Base_row_height_g</t>
    <phoneticPr fontId="1" type="noConversion"/>
  </si>
  <si>
    <t>base_size_mm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</si>
</sst>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3" xfId="0" applyBorder="1"/>
    <xf numFmtId="0" fontId="0" fillId="0" borderId="4" xfId="0" applyBorder="1"/>
    <xf numFmtId="0" fontId="2" fillId="2" borderId="1" xfId="0" applyFont="1" applyFill="1" applyBorder="1"/>
    <xf numFmtId="0" fontId="2" fillId="2" borderId="2" xfId="0" applyFont="1" applyFill="1" applyBorder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selection activeCell="B18" sqref="B18"/>
    </sheetView>
  </sheetViews>
  <sheetFormatPr defaultRowHeight="13.8" x14ac:dyDescent="0.25"/>
  <cols>
    <col min="1" max="7" width="20.77734375" customWidth="1"/>
    <col min="8" max="8" width="11.5546875" customWidth="1"/>
  </cols>
  <sheetData>
    <row r="1" spans="1:7" x14ac:dyDescent="0.25">
      <c r="A1" t="s">
        <v>32</v>
      </c>
      <c r="B1" t="s">
        <v>33</v>
      </c>
    </row>
    <row r="2" spans="1:7" x14ac:dyDescent="0.25">
      <c r="A2" t="s">
        <v>34</v>
      </c>
      <c r="B2" t="s">
        <v>35</v>
      </c>
      <c r="C2">
        <f>Paper_size!C6</f>
        <v>595</v>
      </c>
      <c r="E2" t="s">
        <v>42</v>
      </c>
      <c r="F2">
        <v>2.8346456692913402</v>
      </c>
    </row>
    <row r="3" spans="1:7" x14ac:dyDescent="0.25">
      <c r="A3" t="s">
        <v>36</v>
      </c>
      <c r="B3" t="s">
        <v>37</v>
      </c>
    </row>
    <row r="4" spans="1:7" x14ac:dyDescent="0.25">
      <c r="A4" t="s">
        <v>43</v>
      </c>
      <c r="B4">
        <v>1</v>
      </c>
      <c r="E4" t="s">
        <v>44</v>
      </c>
      <c r="F4">
        <f>$F$2</f>
        <v>2.8346456692913402</v>
      </c>
    </row>
    <row r="5" spans="1:7" x14ac:dyDescent="0.25">
      <c r="A5" t="s">
        <v>45</v>
      </c>
      <c r="B5">
        <v>18</v>
      </c>
      <c r="E5" t="s">
        <v>50</v>
      </c>
      <c r="F5">
        <f>B5*$F$2+$F$4</f>
        <v>53.858267716535465</v>
      </c>
    </row>
    <row r="6" spans="1:7" x14ac:dyDescent="0.25">
      <c r="A6" t="s">
        <v>46</v>
      </c>
      <c r="B6">
        <v>0</v>
      </c>
      <c r="E6" t="s">
        <v>51</v>
      </c>
      <c r="F6">
        <f t="shared" ref="F6:F8" si="0">B6*$F$2+$F$4</f>
        <v>2.8346456692913402</v>
      </c>
    </row>
    <row r="7" spans="1:7" x14ac:dyDescent="0.25">
      <c r="A7" t="s">
        <v>47</v>
      </c>
      <c r="B7">
        <v>0</v>
      </c>
      <c r="E7" t="s">
        <v>52</v>
      </c>
      <c r="F7">
        <f t="shared" si="0"/>
        <v>2.8346456692913402</v>
      </c>
    </row>
    <row r="8" spans="1:7" x14ac:dyDescent="0.25">
      <c r="A8" t="s">
        <v>48</v>
      </c>
      <c r="B8">
        <v>0</v>
      </c>
      <c r="E8" t="s">
        <v>53</v>
      </c>
      <c r="F8">
        <f t="shared" si="0"/>
        <v>2.8346456692913402</v>
      </c>
    </row>
    <row r="9" spans="1:7" x14ac:dyDescent="0.25">
      <c r="A9" t="s">
        <v>56</v>
      </c>
      <c r="B9">
        <v>3</v>
      </c>
      <c r="E9" t="s">
        <v>54</v>
      </c>
      <c r="F9">
        <f>B9*$F$2</f>
        <v>8.5039370078740202</v>
      </c>
    </row>
    <row r="10" spans="1:7" x14ac:dyDescent="0.25">
      <c r="A10" t="s">
        <v>49</v>
      </c>
      <c r="B10">
        <v>9</v>
      </c>
      <c r="E10" t="s">
        <v>55</v>
      </c>
      <c r="F10">
        <f>B10*$F$2</f>
        <v>25.511811023622062</v>
      </c>
    </row>
    <row r="12" spans="1:7" ht="14.4" thickBot="1" x14ac:dyDescent="0.3"/>
    <row r="13" spans="1:7" x14ac:dyDescent="0.25">
      <c r="A13" s="3" t="s">
        <v>18</v>
      </c>
      <c r="B13" s="3" t="s">
        <v>41</v>
      </c>
      <c r="C13" s="3" t="s">
        <v>39</v>
      </c>
      <c r="D13" s="3" t="s">
        <v>38</v>
      </c>
      <c r="E13" s="3" t="s">
        <v>13</v>
      </c>
      <c r="F13" s="4" t="s">
        <v>12</v>
      </c>
      <c r="G13" s="3" t="s">
        <v>14</v>
      </c>
    </row>
    <row r="14" spans="1:7" ht="14.4" thickBot="1" x14ac:dyDescent="0.3">
      <c r="A14" t="s">
        <v>15</v>
      </c>
      <c r="B14">
        <v>1</v>
      </c>
      <c r="C14">
        <f>$F$10*B14</f>
        <v>25.511811023622062</v>
      </c>
      <c r="D14" t="b">
        <v>0</v>
      </c>
      <c r="E14" s="1">
        <v>0</v>
      </c>
      <c r="F14" s="2">
        <v>3</v>
      </c>
      <c r="G14" s="1" t="s">
        <v>15</v>
      </c>
    </row>
    <row r="15" spans="1:7" x14ac:dyDescent="0.25">
      <c r="A15" t="s">
        <v>16</v>
      </c>
      <c r="B15">
        <v>3</v>
      </c>
      <c r="C15">
        <f>$F$10*B15</f>
        <v>76.535433070866191</v>
      </c>
      <c r="D15" t="b">
        <v>0</v>
      </c>
      <c r="E15">
        <v>1</v>
      </c>
      <c r="F15">
        <v>1</v>
      </c>
      <c r="G15" t="s">
        <v>16</v>
      </c>
    </row>
    <row r="16" spans="1:7" x14ac:dyDescent="0.25">
      <c r="A16" t="s">
        <v>23</v>
      </c>
      <c r="B16">
        <v>1</v>
      </c>
      <c r="C16">
        <f>$F$10*B16</f>
        <v>25.511811023622062</v>
      </c>
      <c r="D16" t="b">
        <v>0</v>
      </c>
      <c r="E16">
        <v>2</v>
      </c>
      <c r="F16">
        <v>1</v>
      </c>
      <c r="G16" t="s">
        <v>17</v>
      </c>
    </row>
    <row r="17" spans="1:12" x14ac:dyDescent="0.25">
      <c r="A17" t="s">
        <v>22</v>
      </c>
      <c r="B17" s="5">
        <f>TRUNC((C2-C14-C15-C16-C18-C19)/F10)</f>
        <v>15</v>
      </c>
      <c r="C17" s="5">
        <f>$F$10*B17</f>
        <v>382.67716535433095</v>
      </c>
      <c r="D17" t="b">
        <v>0</v>
      </c>
      <c r="E17">
        <v>3</v>
      </c>
      <c r="F17">
        <v>2</v>
      </c>
      <c r="G17" t="s">
        <v>19</v>
      </c>
      <c r="H17" t="s">
        <v>20</v>
      </c>
    </row>
    <row r="18" spans="1:12" x14ac:dyDescent="0.25">
      <c r="A18" t="s">
        <v>24</v>
      </c>
      <c r="B18">
        <v>2</v>
      </c>
      <c r="C18">
        <f>$F$10*B18</f>
        <v>51.023622047244125</v>
      </c>
      <c r="D18" t="b">
        <v>0</v>
      </c>
      <c r="E18">
        <v>4</v>
      </c>
      <c r="F18">
        <v>1</v>
      </c>
      <c r="G18" t="s">
        <v>21</v>
      </c>
    </row>
    <row r="19" spans="1:12" x14ac:dyDescent="0.25">
      <c r="A19" t="s">
        <v>25</v>
      </c>
      <c r="B19">
        <v>1</v>
      </c>
      <c r="C19">
        <f>$F$10*B19</f>
        <v>25.511811023622062</v>
      </c>
      <c r="D19" t="b">
        <v>0</v>
      </c>
      <c r="E19">
        <v>5</v>
      </c>
      <c r="F19">
        <v>6</v>
      </c>
      <c r="G19" t="s">
        <v>26</v>
      </c>
      <c r="H19" t="s">
        <v>27</v>
      </c>
      <c r="I19" t="s">
        <v>28</v>
      </c>
      <c r="J19" t="s">
        <v>29</v>
      </c>
      <c r="K19" t="s">
        <v>30</v>
      </c>
      <c r="L19" t="s">
        <v>31</v>
      </c>
    </row>
    <row r="20" spans="1:12" x14ac:dyDescent="0.25">
      <c r="A20" t="s">
        <v>40</v>
      </c>
      <c r="B20" s="5">
        <f>(($C$2-C14-C15-C16-C18-C19)/F10)-B17</f>
        <v>0.32253086419751753</v>
      </c>
      <c r="C20" s="5">
        <f t="shared" ref="C14:C20" si="1">$B$10*B20</f>
        <v>2.9027777777776578</v>
      </c>
    </row>
  </sheetData>
  <phoneticPr fontId="1" type="noConversion"/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D38-3394-42F8-93E6-31FE7A52FDFA}">
  <dimension ref="A1:C12"/>
  <sheetViews>
    <sheetView workbookViewId="0">
      <selection activeCell="A6" sqref="A6"/>
    </sheetView>
  </sheetViews>
  <sheetFormatPr defaultRowHeight="13.8" x14ac:dyDescent="0.25"/>
  <sheetData>
    <row r="1" spans="1:3" x14ac:dyDescent="0.25">
      <c r="A1" t="s">
        <v>0</v>
      </c>
      <c r="B1">
        <v>2384</v>
      </c>
      <c r="C1">
        <v>3370</v>
      </c>
    </row>
    <row r="2" spans="1:3" x14ac:dyDescent="0.25">
      <c r="A2" t="s">
        <v>1</v>
      </c>
      <c r="B2">
        <v>1684</v>
      </c>
      <c r="C2">
        <v>2384</v>
      </c>
    </row>
    <row r="3" spans="1:3" x14ac:dyDescent="0.25">
      <c r="A3" t="s">
        <v>2</v>
      </c>
      <c r="B3">
        <v>1191</v>
      </c>
      <c r="C3">
        <v>1684</v>
      </c>
    </row>
    <row r="4" spans="1:3" x14ac:dyDescent="0.25">
      <c r="A4" t="s">
        <v>3</v>
      </c>
      <c r="B4">
        <v>842</v>
      </c>
      <c r="C4">
        <v>1191</v>
      </c>
    </row>
    <row r="5" spans="1:3" x14ac:dyDescent="0.25">
      <c r="A5" t="s">
        <v>4</v>
      </c>
      <c r="B5">
        <v>595</v>
      </c>
      <c r="C5">
        <v>842</v>
      </c>
    </row>
    <row r="6" spans="1:3" x14ac:dyDescent="0.25">
      <c r="A6" t="s">
        <v>5</v>
      </c>
      <c r="B6">
        <v>420</v>
      </c>
      <c r="C6">
        <v>595</v>
      </c>
    </row>
    <row r="7" spans="1:3" x14ac:dyDescent="0.25">
      <c r="A7" t="s">
        <v>6</v>
      </c>
      <c r="B7">
        <v>2835</v>
      </c>
      <c r="C7">
        <v>4008</v>
      </c>
    </row>
    <row r="8" spans="1:3" x14ac:dyDescent="0.25">
      <c r="A8" t="s">
        <v>7</v>
      </c>
      <c r="B8">
        <v>2004</v>
      </c>
      <c r="C8">
        <v>2835</v>
      </c>
    </row>
    <row r="9" spans="1:3" x14ac:dyDescent="0.25">
      <c r="A9" t="s">
        <v>8</v>
      </c>
      <c r="B9">
        <v>1417</v>
      </c>
      <c r="C9">
        <v>2004</v>
      </c>
    </row>
    <row r="10" spans="1:3" x14ac:dyDescent="0.25">
      <c r="A10" t="s">
        <v>9</v>
      </c>
      <c r="B10">
        <v>1001</v>
      </c>
      <c r="C10">
        <v>1417</v>
      </c>
    </row>
    <row r="11" spans="1:3" x14ac:dyDescent="0.25">
      <c r="A11" t="s">
        <v>10</v>
      </c>
      <c r="B11">
        <v>709</v>
      </c>
      <c r="C11">
        <v>1001</v>
      </c>
    </row>
    <row r="12" spans="1:3" x14ac:dyDescent="0.25">
      <c r="A12" t="s">
        <v>11</v>
      </c>
      <c r="B12">
        <v>499</v>
      </c>
      <c r="C12">
        <v>709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A5_Cornell_config</vt:lpstr>
      <vt:lpstr>Paper_size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 Ma</dc:creator>
  <cp:lastModifiedBy>Jian Ma</cp:lastModifiedBy>
  <dcterms:created xsi:type="dcterms:W3CDTF">2015-06-05T18:19:34Z</dcterms:created>
  <dcterms:modified xsi:type="dcterms:W3CDTF">2025-11-09T00:01:01Z</dcterms:modified>
</cp:coreProperties>
</file>