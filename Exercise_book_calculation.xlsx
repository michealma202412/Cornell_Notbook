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001_temp\Cornell_notebook\Cornell_Notbook\"/>
    </mc:Choice>
  </mc:AlternateContent>
  <xr:revisionPtr revIDLastSave="0" documentId="13_ncr:1_{82E09E82-0F45-45B6-8936-1B12126605CF}" xr6:coauthVersionLast="47" xr6:coauthVersionMax="47" xr10:uidLastSave="{00000000-0000-0000-0000-000000000000}"/>
  <bookViews>
    <workbookView xWindow="1716" yWindow="972" windowWidth="15588" windowHeight="10740" xr2:uid="{00000000-000D-0000-FFFF-FFFF00000000}"/>
  </bookViews>
  <sheets>
    <sheet name="A5_Cornell_config" sheetId="1" r:id="rId1"/>
    <sheet name="Paper_siz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C2" i="1"/>
  <c r="C28" i="1"/>
  <c r="C29" i="1"/>
  <c r="C25" i="1"/>
  <c r="C26" i="1"/>
  <c r="B8" i="1"/>
  <c r="B9" i="1" s="1"/>
  <c r="C24" i="1" s="1"/>
  <c r="B27" i="1" l="1"/>
  <c r="C27" i="1" s="1"/>
  <c r="B30" i="1" l="1"/>
  <c r="C30" i="1" s="1"/>
</calcChain>
</file>

<file path=xl/sharedStrings.xml><?xml version="1.0" encoding="utf-8"?>
<sst xmlns="http://schemas.openxmlformats.org/spreadsheetml/2006/main" count="50" uniqueCount="48">
  <si>
    <t>A0</t>
    <phoneticPr fontId="1" type="noConversion"/>
  </si>
  <si>
    <t>A1</t>
  </si>
  <si>
    <t>A2</t>
  </si>
  <si>
    <t>A3</t>
  </si>
  <si>
    <t>A4</t>
  </si>
  <si>
    <t>A5</t>
  </si>
  <si>
    <t>B0</t>
    <phoneticPr fontId="1" type="noConversion"/>
  </si>
  <si>
    <t>B1</t>
  </si>
  <si>
    <t>B2</t>
  </si>
  <si>
    <t>B3</t>
  </si>
  <si>
    <t>B4</t>
  </si>
  <si>
    <t>B5</t>
  </si>
  <si>
    <t>Collum_number</t>
    <phoneticPr fontId="1" type="noConversion"/>
  </si>
  <si>
    <t>Row_ID</t>
    <phoneticPr fontId="1" type="noConversion"/>
  </si>
  <si>
    <t>Name</t>
    <phoneticPr fontId="1" type="noConversion"/>
  </si>
  <si>
    <t>Header</t>
    <phoneticPr fontId="1" type="noConversion"/>
  </si>
  <si>
    <t>Quote</t>
    <phoneticPr fontId="1" type="noConversion"/>
  </si>
  <si>
    <t>Title</t>
    <phoneticPr fontId="1" type="noConversion"/>
  </si>
  <si>
    <t>Row Name</t>
    <phoneticPr fontId="1" type="noConversion"/>
  </si>
  <si>
    <t>Key_words</t>
    <phoneticPr fontId="1" type="noConversion"/>
  </si>
  <si>
    <t>Note_body</t>
    <phoneticPr fontId="1" type="noConversion"/>
  </si>
  <si>
    <t>Summary</t>
    <phoneticPr fontId="1" type="noConversion"/>
  </si>
  <si>
    <t>Cornell_Part2</t>
    <phoneticPr fontId="1" type="noConversion"/>
  </si>
  <si>
    <t>Cornell_Part</t>
  </si>
  <si>
    <t>Cornell_Part3</t>
    <phoneticPr fontId="1" type="noConversion"/>
  </si>
  <si>
    <t>Footer</t>
    <phoneticPr fontId="1" type="noConversion"/>
  </si>
  <si>
    <t xml:space="preserve">|D83:    .    .    </t>
    <phoneticPr fontId="1" type="noConversion"/>
  </si>
  <si>
    <t xml:space="preserve">|D49:    .    .    </t>
    <phoneticPr fontId="1" type="noConversion"/>
  </si>
  <si>
    <t xml:space="preserve">|D28:    .    .    </t>
    <phoneticPr fontId="1" type="noConversion"/>
  </si>
  <si>
    <t xml:space="preserve">|D15:    .    .    </t>
    <phoneticPr fontId="1" type="noConversion"/>
  </si>
  <si>
    <t xml:space="preserve">|D7:    .    .    </t>
    <phoneticPr fontId="1" type="noConversion"/>
  </si>
  <si>
    <t xml:space="preserve">|D2:    .    .    </t>
    <phoneticPr fontId="1" type="noConversion"/>
  </si>
  <si>
    <t>Output</t>
    <phoneticPr fontId="1" type="noConversion"/>
  </si>
  <si>
    <t>A5_Cornell_Note_book</t>
    <phoneticPr fontId="1" type="noConversion"/>
  </si>
  <si>
    <t>Page_Size</t>
    <phoneticPr fontId="1" type="noConversion"/>
  </si>
  <si>
    <t>A5</t>
    <phoneticPr fontId="1" type="noConversion"/>
  </si>
  <si>
    <t>Orientation</t>
    <phoneticPr fontId="1" type="noConversion"/>
  </si>
  <si>
    <t>Portrait</t>
    <phoneticPr fontId="1" type="noConversion"/>
  </si>
  <si>
    <t>left_binding_margin</t>
    <phoneticPr fontId="1" type="noConversion"/>
  </si>
  <si>
    <t>right_binding_margin</t>
    <phoneticPr fontId="1" type="noConversion"/>
  </si>
  <si>
    <t>top_binding_margin</t>
    <phoneticPr fontId="1" type="noConversion"/>
  </si>
  <si>
    <t>bottom_binding_margin</t>
    <phoneticPr fontId="1" type="noConversion"/>
  </si>
  <si>
    <t>border_enabled</t>
    <phoneticPr fontId="1" type="noConversion"/>
  </si>
  <si>
    <t>base_size_3mm</t>
    <phoneticPr fontId="1" type="noConversion"/>
  </si>
  <si>
    <t>Height_P</t>
    <phoneticPr fontId="1" type="noConversion"/>
  </si>
  <si>
    <t>Module_Margin</t>
    <phoneticPr fontId="1" type="noConversion"/>
  </si>
  <si>
    <t>times_of_row_height</t>
    <phoneticPr fontId="1" type="noConversion"/>
  </si>
  <si>
    <t>Base_row_height_9mm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</si>
</sst>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3" xfId="0" applyBorder="1"/>
    <xf numFmtId="0" fontId="0" fillId="0" borderId="4" xfId="0" applyBorder="1"/>
    <xf numFmtId="0" fontId="2" fillId="2" borderId="1" xfId="0" applyFont="1" applyFill="1" applyBorder="1"/>
    <xf numFmtId="0" fontId="2" fillId="2" borderId="2" xfId="0" applyFont="1" applyFill="1" applyBorder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9" workbookViewId="0">
      <selection activeCell="B9" sqref="B9"/>
    </sheetView>
  </sheetViews>
  <sheetFormatPr defaultRowHeight="13.8" x14ac:dyDescent="0.25"/>
  <cols>
    <col min="1" max="7" width="20.77734375" customWidth="1"/>
    <col min="8" max="8" width="11.5546875" customWidth="1"/>
  </cols>
  <sheetData>
    <row r="1" spans="1:3" x14ac:dyDescent="0.25">
      <c r="A1" t="s">
        <v>32</v>
      </c>
      <c r="B1" t="s">
        <v>33</v>
      </c>
    </row>
    <row r="2" spans="1:3" x14ac:dyDescent="0.25">
      <c r="A2" t="s">
        <v>34</v>
      </c>
      <c r="B2" t="s">
        <v>35</v>
      </c>
      <c r="C2">
        <f>Paper_size!C6</f>
        <v>595</v>
      </c>
    </row>
    <row r="3" spans="1:3" x14ac:dyDescent="0.25">
      <c r="A3" t="s">
        <v>36</v>
      </c>
      <c r="B3" t="s">
        <v>37</v>
      </c>
    </row>
    <row r="4" spans="1:3" x14ac:dyDescent="0.25">
      <c r="A4" t="s">
        <v>38</v>
      </c>
      <c r="B4">
        <f>7*B8</f>
        <v>59.527559055118139</v>
      </c>
    </row>
    <row r="5" spans="1:3" x14ac:dyDescent="0.25">
      <c r="A5" t="s">
        <v>39</v>
      </c>
      <c r="B5">
        <v>0</v>
      </c>
    </row>
    <row r="6" spans="1:3" x14ac:dyDescent="0.25">
      <c r="A6" t="s">
        <v>40</v>
      </c>
      <c r="B6">
        <v>0</v>
      </c>
    </row>
    <row r="7" spans="1:3" x14ac:dyDescent="0.25">
      <c r="A7" t="s">
        <v>41</v>
      </c>
      <c r="B7">
        <v>0</v>
      </c>
    </row>
    <row r="8" spans="1:3" x14ac:dyDescent="0.25">
      <c r="A8" t="s">
        <v>43</v>
      </c>
      <c r="B8">
        <f>3*2.83464566929134</f>
        <v>8.5039370078740202</v>
      </c>
    </row>
    <row r="9" spans="1:3" x14ac:dyDescent="0.25">
      <c r="A9" t="s">
        <v>47</v>
      </c>
      <c r="B9">
        <f>B8*3</f>
        <v>25.511811023622059</v>
      </c>
    </row>
    <row r="22" spans="1:12" ht="14.4" thickBot="1" x14ac:dyDescent="0.3"/>
    <row r="23" spans="1:12" x14ac:dyDescent="0.25">
      <c r="A23" s="3" t="s">
        <v>18</v>
      </c>
      <c r="B23" s="3" t="s">
        <v>46</v>
      </c>
      <c r="C23" s="3" t="s">
        <v>44</v>
      </c>
      <c r="D23" s="3" t="s">
        <v>42</v>
      </c>
      <c r="E23" s="3" t="s">
        <v>13</v>
      </c>
      <c r="F23" s="4" t="s">
        <v>12</v>
      </c>
      <c r="G23" s="3" t="s">
        <v>14</v>
      </c>
    </row>
    <row r="24" spans="1:12" ht="14.4" thickBot="1" x14ac:dyDescent="0.3">
      <c r="A24" t="s">
        <v>15</v>
      </c>
      <c r="B24">
        <v>1</v>
      </c>
      <c r="C24">
        <f>$B$9*B24</f>
        <v>25.511811023622059</v>
      </c>
      <c r="D24" t="b">
        <v>0</v>
      </c>
      <c r="E24" s="1">
        <v>0</v>
      </c>
      <c r="F24" s="2">
        <v>3</v>
      </c>
      <c r="G24" s="1" t="s">
        <v>15</v>
      </c>
    </row>
    <row r="25" spans="1:12" x14ac:dyDescent="0.25">
      <c r="A25" t="s">
        <v>16</v>
      </c>
      <c r="B25">
        <v>3</v>
      </c>
      <c r="C25">
        <f>$B$9*B25</f>
        <v>76.535433070866176</v>
      </c>
      <c r="D25" t="b">
        <v>0</v>
      </c>
      <c r="E25">
        <v>1</v>
      </c>
      <c r="F25">
        <v>1</v>
      </c>
      <c r="G25" t="s">
        <v>16</v>
      </c>
    </row>
    <row r="26" spans="1:12" x14ac:dyDescent="0.25">
      <c r="A26" t="s">
        <v>23</v>
      </c>
      <c r="B26">
        <v>1</v>
      </c>
      <c r="C26">
        <f>$B$9*B26</f>
        <v>25.511811023622059</v>
      </c>
      <c r="D26" t="b">
        <v>0</v>
      </c>
      <c r="E26">
        <v>2</v>
      </c>
      <c r="F26">
        <v>1</v>
      </c>
      <c r="G26" t="s">
        <v>17</v>
      </c>
    </row>
    <row r="27" spans="1:12" x14ac:dyDescent="0.25">
      <c r="A27" t="s">
        <v>22</v>
      </c>
      <c r="B27" s="5">
        <f>TRUNC(($C$2-C24-C25-C26-C28-C29)/B9)</f>
        <v>15</v>
      </c>
      <c r="C27" s="5">
        <f>$B$9*B27</f>
        <v>382.6771653543309</v>
      </c>
      <c r="D27" t="b">
        <v>0</v>
      </c>
      <c r="E27">
        <v>3</v>
      </c>
      <c r="F27">
        <v>2</v>
      </c>
      <c r="G27" t="s">
        <v>19</v>
      </c>
      <c r="H27" t="s">
        <v>20</v>
      </c>
    </row>
    <row r="28" spans="1:12" x14ac:dyDescent="0.25">
      <c r="A28" t="s">
        <v>24</v>
      </c>
      <c r="B28">
        <v>2</v>
      </c>
      <c r="C28">
        <f>$B$9*B28</f>
        <v>51.023622047244118</v>
      </c>
      <c r="D28" t="b">
        <v>0</v>
      </c>
      <c r="E28">
        <v>4</v>
      </c>
      <c r="F28">
        <v>1</v>
      </c>
      <c r="G28" t="s">
        <v>21</v>
      </c>
    </row>
    <row r="29" spans="1:12" x14ac:dyDescent="0.25">
      <c r="A29" t="s">
        <v>25</v>
      </c>
      <c r="B29">
        <v>1</v>
      </c>
      <c r="C29">
        <f>$B$9*B29</f>
        <v>25.511811023622059</v>
      </c>
      <c r="D29" t="b">
        <v>0</v>
      </c>
      <c r="E29">
        <v>5</v>
      </c>
      <c r="F29">
        <v>6</v>
      </c>
      <c r="G29" t="s">
        <v>26</v>
      </c>
      <c r="H29" t="s">
        <v>27</v>
      </c>
      <c r="I29" t="s">
        <v>28</v>
      </c>
      <c r="J29" t="s">
        <v>29</v>
      </c>
      <c r="K29" t="s">
        <v>30</v>
      </c>
      <c r="L29" t="s">
        <v>31</v>
      </c>
    </row>
    <row r="30" spans="1:12" x14ac:dyDescent="0.25">
      <c r="A30" t="s">
        <v>45</v>
      </c>
      <c r="B30" s="5">
        <f>(($C$2-C24-C25-C26-C28-C29)/B9)-B27</f>
        <v>0.32253086419752108</v>
      </c>
      <c r="C30" s="5">
        <f>$B$9*B30</f>
        <v>8.2283464566926678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CD38-3394-42F8-93E6-31FE7A52FDFA}">
  <dimension ref="A1:C12"/>
  <sheetViews>
    <sheetView workbookViewId="0">
      <selection activeCell="A6" sqref="A6"/>
    </sheetView>
  </sheetViews>
  <sheetFormatPr defaultRowHeight="13.8" x14ac:dyDescent="0.25"/>
  <sheetData>
    <row r="1" spans="1:3" x14ac:dyDescent="0.25">
      <c r="A1" t="s">
        <v>0</v>
      </c>
      <c r="B1">
        <v>2384</v>
      </c>
      <c r="C1">
        <v>3370</v>
      </c>
    </row>
    <row r="2" spans="1:3" x14ac:dyDescent="0.25">
      <c r="A2" t="s">
        <v>1</v>
      </c>
      <c r="B2">
        <v>1684</v>
      </c>
      <c r="C2">
        <v>2384</v>
      </c>
    </row>
    <row r="3" spans="1:3" x14ac:dyDescent="0.25">
      <c r="A3" t="s">
        <v>2</v>
      </c>
      <c r="B3">
        <v>1191</v>
      </c>
      <c r="C3">
        <v>1684</v>
      </c>
    </row>
    <row r="4" spans="1:3" x14ac:dyDescent="0.25">
      <c r="A4" t="s">
        <v>3</v>
      </c>
      <c r="B4">
        <v>842</v>
      </c>
      <c r="C4">
        <v>1191</v>
      </c>
    </row>
    <row r="5" spans="1:3" x14ac:dyDescent="0.25">
      <c r="A5" t="s">
        <v>4</v>
      </c>
      <c r="B5">
        <v>595</v>
      </c>
      <c r="C5">
        <v>842</v>
      </c>
    </row>
    <row r="6" spans="1:3" x14ac:dyDescent="0.25">
      <c r="A6" t="s">
        <v>5</v>
      </c>
      <c r="B6">
        <v>420</v>
      </c>
      <c r="C6">
        <v>595</v>
      </c>
    </row>
    <row r="7" spans="1:3" x14ac:dyDescent="0.25">
      <c r="A7" t="s">
        <v>6</v>
      </c>
      <c r="B7">
        <v>2835</v>
      </c>
      <c r="C7">
        <v>4008</v>
      </c>
    </row>
    <row r="8" spans="1:3" x14ac:dyDescent="0.25">
      <c r="A8" t="s">
        <v>7</v>
      </c>
      <c r="B8">
        <v>2004</v>
      </c>
      <c r="C8">
        <v>2835</v>
      </c>
    </row>
    <row r="9" spans="1:3" x14ac:dyDescent="0.25">
      <c r="A9" t="s">
        <v>8</v>
      </c>
      <c r="B9">
        <v>1417</v>
      </c>
      <c r="C9">
        <v>2004</v>
      </c>
    </row>
    <row r="10" spans="1:3" x14ac:dyDescent="0.25">
      <c r="A10" t="s">
        <v>9</v>
      </c>
      <c r="B10">
        <v>1001</v>
      </c>
      <c r="C10">
        <v>1417</v>
      </c>
    </row>
    <row r="11" spans="1:3" x14ac:dyDescent="0.25">
      <c r="A11" t="s">
        <v>10</v>
      </c>
      <c r="B11">
        <v>709</v>
      </c>
      <c r="C11">
        <v>1001</v>
      </c>
    </row>
    <row r="12" spans="1:3" x14ac:dyDescent="0.25">
      <c r="A12" t="s">
        <v>11</v>
      </c>
      <c r="B12">
        <v>499</v>
      </c>
      <c r="C12">
        <v>709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A5_Cornell_config</vt:lpstr>
      <vt:lpstr>Paper_size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Ma</dc:creator>
  <cp:lastModifiedBy>Jian Ma</cp:lastModifiedBy>
  <dcterms:created xsi:type="dcterms:W3CDTF">2015-06-05T18:19:34Z</dcterms:created>
  <dcterms:modified xsi:type="dcterms:W3CDTF">2025-11-08T13:58:01Z</dcterms:modified>
</cp:coreProperties>
</file>